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Habacuq\Desktop\9no Semestre\FByB\Tareas\"/>
    </mc:Choice>
  </mc:AlternateContent>
  <xr:revisionPtr revIDLastSave="0" documentId="13_ncr:1_{E7A3BBE8-880D-44D6-8E71-35ABA30394AF}" xr6:coauthVersionLast="45" xr6:coauthVersionMax="45" xr10:uidLastSave="{00000000-0000-0000-0000-000000000000}"/>
  <bookViews>
    <workbookView xWindow="-120" yWindow="-120" windowWidth="20730" windowHeight="11160" xr2:uid="{00000000-000D-0000-FFFF-FFFF00000000}"/>
  </bookViews>
  <sheets>
    <sheet name="Cubic Interpolation" sheetId="6" r:id="rId1"/>
  </sheets>
  <functionGroups builtInGroupCount="19"/>
  <externalReferences>
    <externalReference r:id="rId2"/>
  </externalReferences>
  <definedNames>
    <definedName name="i">'[1]Estimación LGD'!$C$37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6" l="1"/>
  <c r="F11" i="6" l="1"/>
  <c r="G9" i="6" a="1"/>
  <c r="G10" i="6" a="1"/>
  <c r="G12" i="6" a="1"/>
  <c r="G14" i="6" a="1"/>
  <c r="G16" i="6" a="1"/>
  <c r="G18" i="6" a="1"/>
  <c r="G20" i="6" a="1"/>
  <c r="G22" i="6" a="1"/>
  <c r="G24" i="6" a="1"/>
  <c r="G26" i="6" a="1"/>
  <c r="G28" i="6" a="1"/>
  <c r="G30" i="6" a="1"/>
  <c r="G32" i="6" a="1"/>
  <c r="G34" i="6" a="1"/>
  <c r="G36" i="6" a="1"/>
  <c r="G38" i="6" a="1"/>
  <c r="G40" i="6" a="1"/>
  <c r="G42" i="6" a="1"/>
  <c r="G44" i="6" a="1"/>
  <c r="G46" i="6" a="1"/>
  <c r="G15" i="6" a="1"/>
  <c r="G41" i="6" a="1"/>
  <c r="G13" i="6" a="1"/>
  <c r="G17" i="6" a="1"/>
  <c r="G19" i="6" a="1"/>
  <c r="G21" i="6" a="1"/>
  <c r="G23" i="6" a="1"/>
  <c r="G25" i="6" a="1"/>
  <c r="G27" i="6" a="1"/>
  <c r="G29" i="6" a="1"/>
  <c r="G31" i="6" a="1"/>
  <c r="G33" i="6" a="1"/>
  <c r="G35" i="6" a="1"/>
  <c r="G37" i="6" a="1"/>
  <c r="G39" i="6" a="1"/>
  <c r="G43" i="6" a="1"/>
  <c r="G45" i="6" a="1"/>
  <c r="G47" i="6" a="1"/>
  <c r="G11" i="6" a="1"/>
  <c r="G10" i="6" l="1"/>
  <c r="G9" i="6"/>
  <c r="G47" i="6"/>
  <c r="G45" i="6"/>
  <c r="G43" i="6"/>
  <c r="G39" i="6"/>
  <c r="G37" i="6"/>
  <c r="G35" i="6"/>
  <c r="G33" i="6"/>
  <c r="G31" i="6"/>
  <c r="G29" i="6"/>
  <c r="G27" i="6"/>
  <c r="G25" i="6"/>
  <c r="G23" i="6"/>
  <c r="G21" i="6"/>
  <c r="G19" i="6"/>
  <c r="G17" i="6"/>
  <c r="G13" i="6"/>
  <c r="G41" i="6"/>
  <c r="G15" i="6"/>
  <c r="G46" i="6"/>
  <c r="G44" i="6"/>
  <c r="G42" i="6"/>
  <c r="G40" i="6"/>
  <c r="G38" i="6"/>
  <c r="G36" i="6"/>
  <c r="G34" i="6"/>
  <c r="G32" i="6"/>
  <c r="G30" i="6"/>
  <c r="G28" i="6"/>
  <c r="G26" i="6"/>
  <c r="G24" i="6"/>
  <c r="G22" i="6"/>
  <c r="G20" i="6"/>
  <c r="G18" i="6"/>
  <c r="G16" i="6"/>
  <c r="G14" i="6"/>
  <c r="G12" i="6"/>
  <c r="G11" i="6"/>
  <c r="F45" i="6"/>
  <c r="F47" i="6"/>
  <c r="F43" i="6"/>
  <c r="F41" i="6"/>
  <c r="F39" i="6"/>
  <c r="F37" i="6"/>
  <c r="F35" i="6"/>
  <c r="F33" i="6"/>
  <c r="F31" i="6"/>
  <c r="F29" i="6"/>
  <c r="F27" i="6"/>
  <c r="F25" i="6"/>
  <c r="F23" i="6"/>
  <c r="F21" i="6"/>
  <c r="F19" i="6"/>
  <c r="F17" i="6"/>
  <c r="F15" i="6"/>
  <c r="F13" i="6"/>
  <c r="F12" i="6"/>
  <c r="F14" i="6"/>
  <c r="F16" i="6"/>
  <c r="F18" i="6"/>
  <c r="F20" i="6"/>
  <c r="F22" i="6"/>
  <c r="F24" i="6"/>
  <c r="F26" i="6"/>
  <c r="F28" i="6"/>
  <c r="F30" i="6"/>
  <c r="F32" i="6"/>
  <c r="F34" i="6"/>
  <c r="F36" i="6"/>
  <c r="F38" i="6"/>
  <c r="F40" i="6"/>
  <c r="F42" i="6"/>
  <c r="F44" i="6"/>
  <c r="F46" i="6"/>
  <c r="F9" i="6"/>
  <c r="H26" i="6" l="1"/>
  <c r="H33" i="6"/>
  <c r="H17" i="6"/>
  <c r="H24" i="6"/>
  <c r="H16" i="6"/>
  <c r="H47" i="6"/>
  <c r="H31" i="6"/>
  <c r="H23" i="6"/>
  <c r="H15" i="6"/>
  <c r="H41" i="6"/>
  <c r="H9" i="6"/>
  <c r="H38" i="6"/>
  <c r="H14" i="6"/>
  <c r="H21" i="6"/>
  <c r="H13" i="6"/>
  <c r="H42" i="6"/>
  <c r="H18" i="6"/>
  <c r="H25" i="6"/>
  <c r="H46" i="6"/>
  <c r="H30" i="6"/>
  <c r="H44" i="6"/>
  <c r="H36" i="6"/>
  <c r="H20" i="6"/>
  <c r="H43" i="6"/>
  <c r="H35" i="6"/>
  <c r="H27" i="6"/>
  <c r="H34" i="6"/>
  <c r="H10" i="6"/>
  <c r="H40" i="6"/>
  <c r="H32" i="6"/>
  <c r="H11" i="6"/>
  <c r="H19" i="6"/>
  <c r="H29" i="6"/>
  <c r="H37" i="6"/>
  <c r="H22" i="6"/>
  <c r="H28" i="6"/>
  <c r="H12" i="6"/>
  <c r="H39" i="6"/>
  <c r="H45"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<sst xmlns="http://schemas.openxmlformats.org/spreadsheetml/2006/main" count="7" uniqueCount="6">
  <si>
    <t>Created by Luis Habacuq Vallejo Domínguez</t>
  </si>
  <si>
    <t>Interest Rate</t>
  </si>
  <si>
    <t>Linear Forecast</t>
  </si>
  <si>
    <t>Cubic Forecast</t>
  </si>
  <si>
    <t>Diference</t>
  </si>
  <si>
    <t>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</si>
</sst>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43" formatCode="_-* #,##0.00_-;\-* #,##0.00_-;_-* &quot;-&quot;??_-;_-@_-"/>
    <numFmt numFmtId="164" formatCode="_-* #,##0.00\ _€_-;\-* #,##0.00\ _€_-;_-* &quot;-&quot;??\ _€_-;_-@_-"/>
    <numFmt numFmtId="165" formatCode="_-* #,##0.0000_-;\-* #,##0.0000_-;_-* &quot;-&quot;??_-;_-@_-"/>
    <numFmt numFmtId="166" formatCode="0.0000%"/>
    <numFmt numFmtId="167" formatCode="_-* #,##0_-;\-* #,##0_-;_-* &quot;-&quot;??_-;_-@_-"/>
    <numFmt numFmtId="168" formatCode="0.000000%"/>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6"/>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164" fontId="1" fillId="0" borderId="0" applyFont="0" applyFill="0" applyBorder="0" applyAlignment="0" applyProtection="0"/>
    <xf numFmtId="0" fontId="3" fillId="0" borderId="0"/>
    <xf numFmtId="9" fontId="1" fillId="0" borderId="0" applyFont="0" applyFill="0" applyBorder="0" applyAlignment="0" applyProtection="0"/>
    <xf numFmtId="44" fontId="1" fillId="0" borderId="0" applyFont="0" applyFill="0" applyBorder="0" applyAlignment="0" applyProtection="0"/>
  </cellStyleXfs>
  <cellXfs count="14">
    <xf numFmtId="0" fontId="0" fillId="0" borderId="0" xfId="0"/>
    <xf numFmtId="0" fontId="0" fillId="2" borderId="0" xfId="0" applyFill="1"/>
    <xf numFmtId="0" fontId="4" fillId="2" borderId="0" xfId="0" applyFont="1" applyFill="1"/>
    <xf numFmtId="165" fontId="2" fillId="2" borderId="0" xfId="1" applyNumberFormat="1" applyFont="1" applyFill="1"/>
    <xf numFmtId="0" fontId="0" fillId="2" borderId="1" xfId="0" applyFill="1" applyBorder="1"/>
    <xf numFmtId="167" fontId="0" fillId="2" borderId="1" xfId="1" applyNumberFormat="1" applyFont="1" applyFill="1" applyBorder="1"/>
    <xf numFmtId="166" fontId="0" fillId="2" borderId="1" xfId="4" applyNumberFormat="1" applyFont="1" applyFill="1" applyBorder="1"/>
    <xf numFmtId="0" fontId="2" fillId="3" borderId="1" xfId="0" applyFont="1" applyFill="1" applyBorder="1"/>
    <xf numFmtId="165" fontId="2" fillId="3" borderId="1" xfId="1" applyNumberFormat="1" applyFont="1" applyFill="1" applyBorder="1"/>
    <xf numFmtId="168" fontId="0" fillId="2" borderId="1" xfId="4" applyNumberFormat="1" applyFont="1" applyFill="1" applyBorder="1"/>
    <xf numFmtId="168" fontId="0" fillId="4" borderId="1" xfId="4" applyNumberFormat="1" applyFont="1" applyFill="1" applyBorder="1"/>
    <xf numFmtId="10" fontId="0" fillId="2" borderId="0" xfId="4" applyNumberFormat="1" applyFont="1" applyFill="1"/>
    <xf numFmtId="0" fontId="2" fillId="2" borderId="0" xfId="0" applyFont="1" applyFill="1"/>
    <xf numFmtId="44" fontId="0" fillId="2" borderId="0" xfId="5" applyNumberFormat="1" applyFont="1" applyFill="1"/>
  </cellXfs>
  <cellStyles count="6">
    <cellStyle name="Comma" xfId="1" builtinId="3"/>
    <cellStyle name="Currency" xfId="5" builtinId="4"/>
    <cellStyle name="Millares 2" xfId="2" xr:uid="{00000000-0005-0000-0000-000002000000}"/>
    <cellStyle name="Normal" xfId="0" builtinId="0"/>
    <cellStyle name="Normal 2" xfId="3" xr:uid="{00000000-0005-0000-0000-000004000000}"/>
    <cellStyle name="Percent" xfId="4"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212481</xdr:colOff>
      <xdr:row>1</xdr:row>
      <xdr:rowOff>161193</xdr:rowOff>
    </xdr:from>
    <xdr:to>
      <xdr:col>7</xdr:col>
      <xdr:colOff>952499</xdr:colOff>
      <xdr:row>5</xdr:row>
      <xdr:rowOff>65943</xdr:rowOff>
    </xdr:to>
    <xdr:sp macro="" textlink="">
      <xdr:nvSpPr>
        <xdr:cNvPr id="2" name="TextBox 1">
          <a:extLst>
            <a:ext uri="{FF2B5EF4-FFF2-40B4-BE49-F238E27FC236}">
              <a16:creationId xmlns:a16="http://schemas.microsoft.com/office/drawing/2014/main" id="{FDD0D75E-02C9-42C6-B514-D56914C092C8}"/>
            </a:ext>
          </a:extLst>
        </xdr:cNvPr>
        <xdr:cNvSpPr txBox="1"/>
      </xdr:nvSpPr>
      <xdr:spPr>
        <a:xfrm>
          <a:off x="212481" y="351693"/>
          <a:ext cx="6396403" cy="8132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a:t>
          </a:r>
          <a:r>
            <a:rPr lang="en-US" sz="1100" i="1"/>
            <a:t>CubicForecast</a:t>
          </a:r>
          <a:r>
            <a:rPr lang="en-US" sz="1100">
              <a:solidFill>
                <a:schemeClr val="dk1"/>
              </a:solidFill>
              <a:effectLst/>
              <a:latin typeface="+mn-lt"/>
              <a:ea typeface="+mn-ea"/>
              <a:cs typeface="+mn-cs"/>
            </a:rPr>
            <a:t> function</a:t>
          </a:r>
          <a:r>
            <a:rPr lang="en-US" sz="1100" baseline="0">
              <a:solidFill>
                <a:schemeClr val="dk1"/>
              </a:solidFill>
              <a:effectLst/>
              <a:latin typeface="+mn-lt"/>
              <a:ea typeface="+mn-ea"/>
              <a:cs typeface="+mn-cs"/>
            </a:rPr>
            <a:t> allow us to make, as the name suggests, rates estimation by following a cubic interpolation process, specially tought for bonds valuation. The mathematical process is fully described in the PDF document attached in the GitHub folder. It's arguments are the nodes and the term to forecast. In the example above it's compared against usual linear interpolation.</a:t>
          </a:r>
          <a:endParaRPr lang="en-US" sz="1100" i="1" baseline="0"/>
        </a:p>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02%20RYSC\Diplomado%20Riesgos\Aplicaciones\Riesgo%20de%20Cr&#233;dito%20ok\AP6%20Estimaci&#243;n%20LGD%20(Curso)%2020160910%20o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6"/>
      <sheetName val="Estimación LGD"/>
      <sheetName val="Base Recuperaciones"/>
      <sheetName val="Base Castigos"/>
    </sheetNames>
    <sheetDataSet>
      <sheetData sheetId="0"/>
      <sheetData sheetId="1">
        <row r="37">
          <cell r="C37">
            <v>0.35</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B0A27-ECFB-4A50-80AE-A53AF490C0DC}">
  <sheetPr codeName="Hoja4">
    <tabColor rgb="FFFFC000"/>
  </sheetPr>
  <dimension ref="B1:J48"/>
  <sheetViews>
    <sheetView tabSelected="1" zoomScale="130" zoomScaleNormal="130" workbookViewId="0">
      <selection activeCell="I4" sqref="I4"/>
    </sheetView>
  </sheetViews>
  <sheetFormatPr defaultColWidth="11.42578125" defaultRowHeight="15" x14ac:dyDescent="0.25"/>
  <cols>
    <col min="1" max="1" width="5.7109375" style="1" customWidth="1"/>
    <col min="2" max="2" width="11.140625" style="1" customWidth="1"/>
    <col min="3" max="3" width="13.7109375" style="1" customWidth="1"/>
    <col min="4" max="5" width="11.42578125" style="1"/>
    <col min="6" max="7" width="15.7109375" style="1" bestFit="1" customWidth="1"/>
    <col min="8" max="8" width="15.42578125" style="1" customWidth="1"/>
    <col min="9" max="9" width="11.42578125" style="1"/>
    <col min="10" max="10" width="17.7109375" style="1" customWidth="1"/>
    <col min="11" max="16384" width="11.42578125" style="1"/>
  </cols>
  <sheetData>
    <row r="1" spans="2:10" x14ac:dyDescent="0.25">
      <c r="B1" s="1" t="s">
        <v>0</v>
      </c>
    </row>
    <row r="2" spans="2:10" ht="21" x14ac:dyDescent="0.35">
      <c r="B2" s="2"/>
    </row>
    <row r="3" spans="2:10" ht="21" x14ac:dyDescent="0.35">
      <c r="B3" s="2"/>
    </row>
    <row r="4" spans="2:10" x14ac:dyDescent="0.25">
      <c r="B4" s="3"/>
    </row>
    <row r="6" spans="2:10" x14ac:dyDescent="0.25">
      <c r="J6" s="12"/>
    </row>
    <row r="7" spans="2:10" x14ac:dyDescent="0.25">
      <c r="B7" s="7" t="s">
        <v>5</v>
      </c>
      <c r="C7" s="8" t="s">
        <v>1</v>
      </c>
      <c r="E7" s="7" t="s">
        <v>5</v>
      </c>
      <c r="F7" s="7" t="s">
        <v>2</v>
      </c>
      <c r="G7" s="7" t="s">
        <v>3</v>
      </c>
      <c r="H7" s="7" t="s">
        <v>4</v>
      </c>
      <c r="J7" s="13"/>
    </row>
    <row r="8" spans="2:10" x14ac:dyDescent="0.25">
      <c r="B8" s="5">
        <v>1</v>
      </c>
      <c r="C8" s="6">
        <v>6.4009999999999997E-2</v>
      </c>
      <c r="E8" s="4">
        <v>0</v>
      </c>
      <c r="F8" s="4">
        <v>0</v>
      </c>
      <c r="G8" s="4">
        <v>0</v>
      </c>
      <c r="H8" s="4">
        <v>0</v>
      </c>
      <c r="J8" s="13"/>
    </row>
    <row r="9" spans="2:10" x14ac:dyDescent="0.25">
      <c r="B9" s="5">
        <v>7</v>
      </c>
      <c r="C9" s="6">
        <v>6.2130999999999999E-2</v>
      </c>
      <c r="E9" s="4">
        <v>182</v>
      </c>
      <c r="F9" s="9">
        <f>+VLOOKUP(E9,$B$8:$C$48,2,FALSE)</f>
        <v>5.6885999999999999E-2</v>
      </c>
      <c r="G9" s="9" cm="1">
        <f t="array" ref="G9">CubicForecast($B$8:$C$48,E9)</f>
        <v>5.6885999999999999E-2</v>
      </c>
      <c r="H9" s="9">
        <f>ABS(F9-G9)</f>
        <v>0</v>
      </c>
    </row>
    <row r="10" spans="2:10" x14ac:dyDescent="0.25">
      <c r="B10" s="5">
        <v>14</v>
      </c>
      <c r="C10" s="6">
        <v>6.1787000000000002E-2</v>
      </c>
      <c r="E10" s="4">
        <v>364</v>
      </c>
      <c r="F10" s="9">
        <f>+VLOOKUP(E10,$B$8:$C$48,2,FALSE)</f>
        <v>5.5152E-2</v>
      </c>
      <c r="G10" s="9" cm="1">
        <f t="array" ref="G10">CubicForecast($B$8:$C$48,E10)</f>
        <v>5.5152E-2</v>
      </c>
      <c r="H10" s="9">
        <f t="shared" ref="H10:H47" si="0">ABS(F10-G10)</f>
        <v>0</v>
      </c>
    </row>
    <row r="11" spans="2:10" x14ac:dyDescent="0.25">
      <c r="B11" s="5">
        <v>28</v>
      </c>
      <c r="C11" s="6">
        <v>6.1913000000000003E-2</v>
      </c>
      <c r="E11" s="4">
        <v>546</v>
      </c>
      <c r="F11" s="10">
        <f>+_xlfn.FORECAST.LINEAR(E11,C18:C19,B18:B19)</f>
        <v>5.4393169398907107E-2</v>
      </c>
      <c r="G11" s="10" cm="1">
        <f t="array" ref="G11">CubicForecast($B$8:$C$48,E11)</f>
        <v>5.4391392233024076E-2</v>
      </c>
      <c r="H11" s="9">
        <f t="shared" si="0"/>
        <v>1.7771658830309511E-6</v>
      </c>
      <c r="I11" s="11"/>
    </row>
    <row r="12" spans="2:10" x14ac:dyDescent="0.25">
      <c r="B12" s="5">
        <v>61</v>
      </c>
      <c r="C12" s="6">
        <v>6.1330000000000003E-2</v>
      </c>
      <c r="E12" s="4">
        <v>728</v>
      </c>
      <c r="F12" s="9">
        <f>+VLOOKUP(E12,$B$8:$C$48,2,FALSE)</f>
        <v>5.4119E-2</v>
      </c>
      <c r="G12" s="9" cm="1">
        <f t="array" ref="G12">CubicForecast($B$8:$C$48,E12)</f>
        <v>5.4119E-2</v>
      </c>
      <c r="H12" s="9">
        <f t="shared" si="0"/>
        <v>0</v>
      </c>
    </row>
    <row r="13" spans="2:10" x14ac:dyDescent="0.25">
      <c r="B13" s="5">
        <v>91</v>
      </c>
      <c r="C13" s="6">
        <v>6.0645999999999999E-2</v>
      </c>
      <c r="E13" s="4">
        <v>910</v>
      </c>
      <c r="F13" s="10">
        <f>+_xlfn.FORECAST.LINEAR(E13,C20:C21,B20:B21)</f>
        <v>5.4322999999999996E-2</v>
      </c>
      <c r="G13" s="10" cm="1">
        <f t="array" ref="G13">CubicForecast($B$8:$C$48,E13)</f>
        <v>5.4132709023941072E-2</v>
      </c>
      <c r="H13" s="9">
        <f t="shared" si="0"/>
        <v>1.9029097605892387E-4</v>
      </c>
    </row>
    <row r="14" spans="2:10" x14ac:dyDescent="0.25">
      <c r="B14" s="5">
        <v>122</v>
      </c>
      <c r="C14" s="6">
        <v>5.9712000000000001E-2</v>
      </c>
      <c r="E14" s="4">
        <v>1092</v>
      </c>
      <c r="F14" s="9">
        <f>+VLOOKUP(E14,$B$8:$C$48,2,FALSE)</f>
        <v>5.4526999999999999E-2</v>
      </c>
      <c r="G14" s="9" cm="1">
        <f t="array" ref="G14">CubicForecast($B$8:$C$48,E14)</f>
        <v>5.4526999999999999E-2</v>
      </c>
      <c r="H14" s="9">
        <f t="shared" si="0"/>
        <v>0</v>
      </c>
    </row>
    <row r="15" spans="2:10" x14ac:dyDescent="0.25">
      <c r="B15" s="5">
        <v>153</v>
      </c>
      <c r="C15" s="6">
        <v>5.8144000000000001E-2</v>
      </c>
      <c r="E15" s="4">
        <v>1274</v>
      </c>
      <c r="F15" s="10">
        <f>+_xlfn.FORECAST.LINEAR(E15,C21:C22,B21:B22)</f>
        <v>5.5635000000000004E-2</v>
      </c>
      <c r="G15" s="10" cm="1">
        <f t="array" ref="G15">CubicForecast($B$8:$C$48,E15)</f>
        <v>5.5373249999999992E-2</v>
      </c>
      <c r="H15" s="9">
        <f t="shared" si="0"/>
        <v>2.6175000000001197E-4</v>
      </c>
    </row>
    <row r="16" spans="2:10" x14ac:dyDescent="0.25">
      <c r="B16" s="5">
        <v>182</v>
      </c>
      <c r="C16" s="6">
        <v>5.6885999999999999E-2</v>
      </c>
      <c r="E16" s="4">
        <v>1456</v>
      </c>
      <c r="F16" s="9">
        <f>+VLOOKUP(E16,$B$8:$C$48,2,FALSE)</f>
        <v>5.6743000000000002E-2</v>
      </c>
      <c r="G16" s="9" cm="1">
        <f t="array" ref="G16">CubicForecast($B$8:$C$48,E16)</f>
        <v>5.6743000000000002E-2</v>
      </c>
      <c r="H16" s="9">
        <f t="shared" si="0"/>
        <v>0</v>
      </c>
    </row>
    <row r="17" spans="2:8" x14ac:dyDescent="0.25">
      <c r="B17" s="5">
        <v>273</v>
      </c>
      <c r="C17" s="6">
        <v>5.6108999999999999E-2</v>
      </c>
      <c r="E17" s="4">
        <v>1638</v>
      </c>
      <c r="F17" s="10">
        <f>+_xlfn.FORECAST.LINEAR(E17,C22:C23,B22:B23)</f>
        <v>5.8969500000000001E-2</v>
      </c>
      <c r="G17" s="10" cm="1">
        <f t="array" ref="G17">CubicForecast($B$8:$C$48,E17)</f>
        <v>5.9017541666666673E-2</v>
      </c>
      <c r="H17" s="9">
        <f t="shared" si="0"/>
        <v>4.8041666666671923E-5</v>
      </c>
    </row>
    <row r="18" spans="2:8" x14ac:dyDescent="0.25">
      <c r="B18" s="5">
        <v>364</v>
      </c>
      <c r="C18" s="6">
        <v>5.5152E-2</v>
      </c>
      <c r="E18" s="4">
        <v>1820</v>
      </c>
      <c r="F18" s="9">
        <f>+VLOOKUP(E18,$B$8:$C$48,2,FALSE)</f>
        <v>6.1196E-2</v>
      </c>
      <c r="G18" s="9" cm="1">
        <f t="array" ref="G18">CubicForecast($B$8:$C$48,E18)</f>
        <v>6.1196E-2</v>
      </c>
      <c r="H18" s="9">
        <f t="shared" si="0"/>
        <v>0</v>
      </c>
    </row>
    <row r="19" spans="2:8" x14ac:dyDescent="0.25">
      <c r="B19" s="5">
        <v>547</v>
      </c>
      <c r="C19" s="6">
        <v>5.4389E-2</v>
      </c>
      <c r="E19" s="4">
        <v>2002</v>
      </c>
      <c r="F19" s="10">
        <f>+_xlfn.FORECAST.LINEAR(E19,C23:C24,B23:B24)</f>
        <v>6.2574999999999992E-2</v>
      </c>
      <c r="G19" s="10" cm="1">
        <f t="array" ref="G19">CubicForecast($B$8:$C$48,E19)</f>
        <v>6.2505291666666671E-2</v>
      </c>
      <c r="H19" s="9">
        <f t="shared" si="0"/>
        <v>6.9708333333320938E-5</v>
      </c>
    </row>
    <row r="20" spans="2:8" x14ac:dyDescent="0.25">
      <c r="B20" s="5">
        <v>728</v>
      </c>
      <c r="C20" s="6">
        <v>5.4119E-2</v>
      </c>
      <c r="E20" s="4">
        <v>2184</v>
      </c>
      <c r="F20" s="9">
        <f>+VLOOKUP(E20,$B$8:$C$48,2,FALSE)</f>
        <v>6.3953999999999997E-2</v>
      </c>
      <c r="G20" s="9" cm="1">
        <f t="array" ref="G20">CubicForecast($B$8:$C$48,E20)</f>
        <v>6.3953999999999997E-2</v>
      </c>
      <c r="H20" s="9">
        <f t="shared" si="0"/>
        <v>0</v>
      </c>
    </row>
    <row r="21" spans="2:8" x14ac:dyDescent="0.25">
      <c r="B21" s="5">
        <v>1092</v>
      </c>
      <c r="C21" s="6">
        <v>5.4526999999999999E-2</v>
      </c>
      <c r="E21" s="4">
        <v>2366</v>
      </c>
      <c r="F21" s="10">
        <f>+_xlfn.FORECAST.LINEAR(E21,C24:C25,B24:B25)</f>
        <v>6.6174999999999998E-2</v>
      </c>
      <c r="G21" s="10" cm="1">
        <f t="array" ref="G21">CubicForecast($B$8:$C$48,E21)</f>
        <v>6.6277416666666672E-2</v>
      </c>
      <c r="H21" s="9">
        <f t="shared" si="0"/>
        <v>1.0241666666667426E-4</v>
      </c>
    </row>
    <row r="22" spans="2:8" x14ac:dyDescent="0.25">
      <c r="B22" s="5">
        <v>1456</v>
      </c>
      <c r="C22" s="6">
        <v>5.6743000000000002E-2</v>
      </c>
      <c r="E22" s="4">
        <v>2548</v>
      </c>
      <c r="F22" s="9">
        <f>+VLOOKUP(E22,$B$8:$C$48,2,FALSE)</f>
        <v>6.8395999999999998E-2</v>
      </c>
      <c r="G22" s="9" cm="1">
        <f t="array" ref="G22">CubicForecast($B$8:$C$48,E22)</f>
        <v>6.8395999999999998E-2</v>
      </c>
      <c r="H22" s="9">
        <f t="shared" si="0"/>
        <v>0</v>
      </c>
    </row>
    <row r="23" spans="2:8" x14ac:dyDescent="0.25">
      <c r="B23" s="5">
        <v>1820</v>
      </c>
      <c r="C23" s="6">
        <v>6.1196E-2</v>
      </c>
      <c r="E23" s="4">
        <v>2730</v>
      </c>
      <c r="F23" s="10">
        <f>+_xlfn.FORECAST.LINEAR(E23,C25:C26,B25:B26)</f>
        <v>6.9581499999999991E-2</v>
      </c>
      <c r="G23" s="10" cm="1">
        <f t="array" ref="G23">CubicForecast($B$8:$C$48,E23)</f>
        <v>6.9695208333333328E-2</v>
      </c>
      <c r="H23" s="9">
        <f t="shared" si="0"/>
        <v>1.1370833333333719E-4</v>
      </c>
    </row>
    <row r="24" spans="2:8" x14ac:dyDescent="0.25">
      <c r="B24" s="5">
        <v>2184</v>
      </c>
      <c r="C24" s="6">
        <v>6.3953999999999997E-2</v>
      </c>
      <c r="E24" s="4">
        <v>2912</v>
      </c>
      <c r="F24" s="9">
        <f>+VLOOKUP(E24,$B$8:$C$48,2,FALSE)</f>
        <v>7.0766999999999997E-2</v>
      </c>
      <c r="G24" s="9" cm="1">
        <f t="array" ref="G24">CubicForecast($B$8:$C$48,E24)</f>
        <v>7.0766999999999997E-2</v>
      </c>
      <c r="H24" s="9">
        <f t="shared" si="0"/>
        <v>0</v>
      </c>
    </row>
    <row r="25" spans="2:8" x14ac:dyDescent="0.25">
      <c r="B25" s="5">
        <v>2548</v>
      </c>
      <c r="C25" s="6">
        <v>6.8395999999999998E-2</v>
      </c>
      <c r="E25" s="4">
        <v>3094</v>
      </c>
      <c r="F25" s="10">
        <f>+_xlfn.FORECAST.LINEAR(E25,C26:C27,B26:B27)</f>
        <v>7.1787999999999991E-2</v>
      </c>
      <c r="G25" s="10" cm="1">
        <f t="array" ref="G25">CubicForecast($B$8:$C$48,E25)</f>
        <v>7.1862708333333331E-2</v>
      </c>
      <c r="H25" s="9">
        <f t="shared" si="0"/>
        <v>7.4708333333339816E-5</v>
      </c>
    </row>
    <row r="26" spans="2:8" x14ac:dyDescent="0.25">
      <c r="B26" s="5">
        <v>2912</v>
      </c>
      <c r="C26" s="6">
        <v>7.0766999999999997E-2</v>
      </c>
      <c r="E26" s="4">
        <v>3276</v>
      </c>
      <c r="F26" s="9">
        <f>+VLOOKUP(E26,$B$8:$C$48,2,FALSE)</f>
        <v>7.2808999999999999E-2</v>
      </c>
      <c r="G26" s="9" cm="1">
        <f t="array" ref="G26">CubicForecast($B$8:$C$48,E26)</f>
        <v>7.2808999999999999E-2</v>
      </c>
      <c r="H26" s="9">
        <f t="shared" si="0"/>
        <v>0</v>
      </c>
    </row>
    <row r="27" spans="2:8" x14ac:dyDescent="0.25">
      <c r="B27" s="5">
        <v>3276</v>
      </c>
      <c r="C27" s="6">
        <v>7.2808999999999999E-2</v>
      </c>
      <c r="E27" s="4">
        <v>3458</v>
      </c>
      <c r="F27" s="10">
        <f>+_xlfn.FORECAST.LINEAR(E27,C27:C28,B27:B28)</f>
        <v>7.3464000000000002E-2</v>
      </c>
      <c r="G27" s="10" cm="1">
        <f t="array" ref="G27">CubicForecast($B$8:$C$48,E27)</f>
        <v>7.3504166666666676E-2</v>
      </c>
      <c r="H27" s="9">
        <f t="shared" si="0"/>
        <v>4.0166666666674455E-5</v>
      </c>
    </row>
    <row r="28" spans="2:8" x14ac:dyDescent="0.25">
      <c r="B28" s="5">
        <v>3640</v>
      </c>
      <c r="C28" s="6">
        <v>7.4119000000000004E-2</v>
      </c>
      <c r="E28" s="4">
        <v>3640</v>
      </c>
      <c r="F28" s="9">
        <f>+VLOOKUP(E28,$B$8:$C$48,2,FALSE)</f>
        <v>7.4119000000000004E-2</v>
      </c>
      <c r="G28" s="9" cm="1">
        <f t="array" ref="G28">CubicForecast($B$8:$C$48,E28)</f>
        <v>7.4119000000000004E-2</v>
      </c>
      <c r="H28" s="9">
        <f t="shared" si="0"/>
        <v>0</v>
      </c>
    </row>
    <row r="29" spans="2:8" x14ac:dyDescent="0.25">
      <c r="B29" s="5">
        <v>4004</v>
      </c>
      <c r="C29" s="6">
        <v>7.5313000000000005E-2</v>
      </c>
      <c r="E29" s="4">
        <v>3822</v>
      </c>
      <c r="F29" s="10">
        <f>+_xlfn.FORECAST.LINEAR(E29,C28:C29,B28:B29)</f>
        <v>7.4716000000000005E-2</v>
      </c>
      <c r="G29" s="10" cm="1">
        <f t="array" ref="G29">CubicForecast($B$8:$C$48,E29)</f>
        <v>7.4750250000000004E-2</v>
      </c>
      <c r="H29" s="9">
        <f t="shared" si="0"/>
        <v>3.4249999999999559E-5</v>
      </c>
    </row>
    <row r="30" spans="2:8" x14ac:dyDescent="0.25">
      <c r="B30" s="5">
        <v>4368</v>
      </c>
      <c r="C30" s="6">
        <v>7.6153999999999999E-2</v>
      </c>
      <c r="E30" s="4">
        <v>4004</v>
      </c>
      <c r="F30" s="9">
        <f>+VLOOKUP(E30,$B$8:$C$48,2,FALSE)</f>
        <v>7.5313000000000005E-2</v>
      </c>
      <c r="G30" s="9" cm="1">
        <f t="array" ref="G30">CubicForecast($B$8:$C$48,E30)</f>
        <v>7.5313000000000005E-2</v>
      </c>
      <c r="H30" s="9">
        <f t="shared" si="0"/>
        <v>0</v>
      </c>
    </row>
    <row r="31" spans="2:8" x14ac:dyDescent="0.25">
      <c r="B31" s="5">
        <v>4732</v>
      </c>
      <c r="C31" s="6">
        <v>7.6938999999999994E-2</v>
      </c>
      <c r="E31" s="4">
        <v>4186</v>
      </c>
      <c r="F31" s="10">
        <f>+_xlfn.FORECAST.LINEAR(E31,C29:C30,B29:B30)</f>
        <v>7.5733500000000009E-2</v>
      </c>
      <c r="G31" s="10" cm="1">
        <f t="array" ref="G31">CubicForecast($B$8:$C$48,E31)</f>
        <v>7.5752875000000011E-2</v>
      </c>
      <c r="H31" s="9">
        <f t="shared" si="0"/>
        <v>1.9375000000002029E-5</v>
      </c>
    </row>
    <row r="32" spans="2:8" x14ac:dyDescent="0.25">
      <c r="B32" s="5">
        <v>5096</v>
      </c>
      <c r="C32" s="6">
        <v>7.7725000000000002E-2</v>
      </c>
      <c r="E32" s="4">
        <v>4368</v>
      </c>
      <c r="F32" s="9">
        <f>+VLOOKUP(E32,$B$8:$C$48,2,FALSE)</f>
        <v>7.6153999999999999E-2</v>
      </c>
      <c r="G32" s="9" cm="1">
        <f t="array" ref="G32">CubicForecast($B$8:$C$48,E32)</f>
        <v>7.6153999999999999E-2</v>
      </c>
      <c r="H32" s="9">
        <f t="shared" si="0"/>
        <v>0</v>
      </c>
    </row>
    <row r="33" spans="2:8" x14ac:dyDescent="0.25">
      <c r="B33" s="5">
        <v>5460</v>
      </c>
      <c r="C33" s="6">
        <v>7.9184000000000004E-2</v>
      </c>
      <c r="E33" s="4">
        <v>4550</v>
      </c>
      <c r="F33" s="10">
        <f>+_xlfn.FORECAST.LINEAR(E33,C30:C31,B30:B31)</f>
        <v>7.654649999999999E-2</v>
      </c>
      <c r="G33" s="10" cm="1">
        <f t="array" ref="G33">CubicForecast($B$8:$C$48,E33)</f>
        <v>7.6548749999999985E-2</v>
      </c>
      <c r="H33" s="9">
        <f t="shared" si="0"/>
        <v>2.2499999999953113E-6</v>
      </c>
    </row>
    <row r="34" spans="2:8" x14ac:dyDescent="0.25">
      <c r="B34" s="5">
        <v>5824</v>
      </c>
      <c r="C34" s="6">
        <v>8.1827999999999998E-2</v>
      </c>
      <c r="E34" s="4">
        <v>4732</v>
      </c>
      <c r="F34" s="9">
        <f>+VLOOKUP(E34,$B$8:$C$48,2,FALSE)</f>
        <v>7.6938999999999994E-2</v>
      </c>
      <c r="G34" s="9" cm="1">
        <f t="array" ref="G34">CubicForecast($B$8:$C$48,E34)</f>
        <v>7.6938999999999994E-2</v>
      </c>
      <c r="H34" s="9">
        <f t="shared" si="0"/>
        <v>0</v>
      </c>
    </row>
    <row r="35" spans="2:8" x14ac:dyDescent="0.25">
      <c r="B35" s="5">
        <v>6188</v>
      </c>
      <c r="C35" s="6">
        <v>8.4441000000000002E-2</v>
      </c>
      <c r="E35" s="4">
        <v>4914</v>
      </c>
      <c r="F35" s="10">
        <f>+_xlfn.FORECAST.LINEAR(E35,C31:C32,B31:B32)</f>
        <v>7.7331999999999998E-2</v>
      </c>
      <c r="G35" s="10" cm="1">
        <f t="array" ref="G35">CubicForecast($B$8:$C$48,E35)</f>
        <v>7.7275874999999994E-2</v>
      </c>
      <c r="H35" s="9">
        <f t="shared" si="0"/>
        <v>5.6125000000004088E-5</v>
      </c>
    </row>
    <row r="36" spans="2:8" x14ac:dyDescent="0.25">
      <c r="B36" s="5">
        <v>6552</v>
      </c>
      <c r="C36" s="6">
        <v>8.6998000000000006E-2</v>
      </c>
      <c r="E36" s="4">
        <v>5096</v>
      </c>
      <c r="F36" s="9">
        <f>+VLOOKUP(E36,$B$8:$C$48,2,FALSE)</f>
        <v>7.7725000000000002E-2</v>
      </c>
      <c r="G36" s="9" cm="1">
        <f t="array" ref="G36">CubicForecast($B$8:$C$48,E36)</f>
        <v>7.7725000000000002E-2</v>
      </c>
      <c r="H36" s="9">
        <f t="shared" si="0"/>
        <v>0</v>
      </c>
    </row>
    <row r="37" spans="2:8" x14ac:dyDescent="0.25">
      <c r="B37" s="5">
        <v>6916</v>
      </c>
      <c r="C37" s="6">
        <v>8.8744000000000003E-2</v>
      </c>
      <c r="E37" s="4">
        <v>5278</v>
      </c>
      <c r="F37" s="10">
        <f>+_xlfn.FORECAST.LINEAR(E37,C32:C33,B32:B33)</f>
        <v>7.845450000000001E-2</v>
      </c>
      <c r="G37" s="10" cm="1">
        <f t="array" ref="G37">CubicForecast($B$8:$C$48,E37)</f>
        <v>7.8327708333333343E-2</v>
      </c>
      <c r="H37" s="9">
        <f t="shared" si="0"/>
        <v>1.2679166666666741E-4</v>
      </c>
    </row>
    <row r="38" spans="2:8" x14ac:dyDescent="0.25">
      <c r="B38" s="5">
        <v>7280</v>
      </c>
      <c r="C38" s="6">
        <v>8.9064000000000004E-2</v>
      </c>
      <c r="E38" s="4">
        <v>5460</v>
      </c>
      <c r="F38" s="9">
        <f>+VLOOKUP(E38,$B$8:$C$48,2,FALSE)</f>
        <v>7.9184000000000004E-2</v>
      </c>
      <c r="G38" s="9" cm="1">
        <f t="array" ref="G38">CubicForecast($B$8:$C$48,E38)</f>
        <v>7.9184000000000004E-2</v>
      </c>
      <c r="H38" s="9">
        <f t="shared" si="0"/>
        <v>0</v>
      </c>
    </row>
    <row r="39" spans="2:8" x14ac:dyDescent="0.25">
      <c r="B39" s="5">
        <v>7644</v>
      </c>
      <c r="C39" s="6">
        <v>8.9384000000000005E-2</v>
      </c>
      <c r="E39" s="4">
        <v>5642</v>
      </c>
      <c r="F39" s="10">
        <f>+_xlfn.FORECAST.LINEAR(E39,C33:C34,B33:B34)</f>
        <v>8.0505999999999994E-2</v>
      </c>
      <c r="G39" s="10" cm="1">
        <f t="array" ref="G39">CubicForecast($B$8:$C$48,E39)</f>
        <v>8.0459208333333337E-2</v>
      </c>
      <c r="H39" s="9">
        <f t="shared" si="0"/>
        <v>4.6791666666656795E-5</v>
      </c>
    </row>
    <row r="40" spans="2:8" x14ac:dyDescent="0.25">
      <c r="B40" s="5">
        <v>8008</v>
      </c>
      <c r="C40" s="6">
        <v>8.9703000000000005E-2</v>
      </c>
      <c r="E40" s="4">
        <v>5824</v>
      </c>
      <c r="F40" s="9">
        <f>+VLOOKUP(E40,$B$8:$C$48,2,FALSE)</f>
        <v>8.1827999999999998E-2</v>
      </c>
      <c r="G40" s="9" cm="1">
        <f t="array" ref="G40">CubicForecast($B$8:$C$48,E40)</f>
        <v>8.1827999999999998E-2</v>
      </c>
      <c r="H40" s="9">
        <f t="shared" si="0"/>
        <v>0</v>
      </c>
    </row>
    <row r="41" spans="2:8" x14ac:dyDescent="0.25">
      <c r="B41" s="5">
        <v>8372</v>
      </c>
      <c r="C41" s="6">
        <v>8.9914999999999995E-2</v>
      </c>
      <c r="E41" s="4">
        <v>6006</v>
      </c>
      <c r="F41" s="10">
        <f>+_xlfn.FORECAST.LINEAR(E41,C34:C35,B34:B35)</f>
        <v>8.31345E-2</v>
      </c>
      <c r="G41" s="10" cm="1">
        <f t="array" ref="G41">CubicForecast($B$8:$C$48,E41)</f>
        <v>8.3140458333333334E-2</v>
      </c>
      <c r="H41" s="9">
        <f t="shared" si="0"/>
        <v>5.9583333333335098E-6</v>
      </c>
    </row>
    <row r="42" spans="2:8" x14ac:dyDescent="0.25">
      <c r="B42" s="5">
        <v>8736</v>
      </c>
      <c r="C42" s="6">
        <v>8.9935000000000001E-2</v>
      </c>
      <c r="E42" s="4">
        <v>6188</v>
      </c>
      <c r="F42" s="9">
        <f>+VLOOKUP(E42,$B$8:$C$48,2,FALSE)</f>
        <v>8.4441000000000002E-2</v>
      </c>
      <c r="G42" s="9" cm="1">
        <f t="array" ref="G42">CubicForecast($B$8:$C$48,E42)</f>
        <v>8.4441000000000002E-2</v>
      </c>
      <c r="H42" s="9">
        <f t="shared" si="0"/>
        <v>0</v>
      </c>
    </row>
    <row r="43" spans="2:8" x14ac:dyDescent="0.25">
      <c r="B43" s="5">
        <v>9100</v>
      </c>
      <c r="C43" s="6">
        <v>8.9955999999999994E-2</v>
      </c>
      <c r="E43" s="4">
        <v>6370</v>
      </c>
      <c r="F43" s="10">
        <f>+_xlfn.FORECAST.LINEAR(E43,C35:C36,B35:B36)</f>
        <v>8.5719500000000004E-2</v>
      </c>
      <c r="G43" s="10" cm="1">
        <f t="array" ref="G43">CubicForecast($B$8:$C$48,E43)</f>
        <v>8.5789416666666674E-2</v>
      </c>
      <c r="H43" s="9">
        <f t="shared" si="0"/>
        <v>6.9916666666669514E-5</v>
      </c>
    </row>
    <row r="44" spans="2:8" x14ac:dyDescent="0.25">
      <c r="B44" s="5">
        <v>9464</v>
      </c>
      <c r="C44" s="6">
        <v>8.9977000000000001E-2</v>
      </c>
      <c r="E44" s="4">
        <v>6552</v>
      </c>
      <c r="F44" s="9">
        <f>+VLOOKUP(E44,$B$8:$C$48,2,FALSE)</f>
        <v>8.6998000000000006E-2</v>
      </c>
      <c r="G44" s="9" cm="1">
        <f t="array" ref="G44">CubicForecast($B$8:$C$48,E44)</f>
        <v>8.6998000000000006E-2</v>
      </c>
      <c r="H44" s="9">
        <f t="shared" si="0"/>
        <v>0</v>
      </c>
    </row>
    <row r="45" spans="2:8" x14ac:dyDescent="0.25">
      <c r="B45" s="5">
        <v>9828</v>
      </c>
      <c r="C45" s="6">
        <v>8.9997999999999995E-2</v>
      </c>
      <c r="E45" s="4">
        <v>6734</v>
      </c>
      <c r="F45" s="10">
        <f>+_xlfn.FORECAST.LINEAR(E45,C36:C37,B36:B37)</f>
        <v>8.7871000000000005E-2</v>
      </c>
      <c r="G45" s="10" cm="1">
        <f t="array" ref="G45">CubicForecast($B$8:$C$48,E45)</f>
        <v>8.8023625000000008E-2</v>
      </c>
      <c r="H45" s="9">
        <f t="shared" si="0"/>
        <v>1.5262500000000345E-4</v>
      </c>
    </row>
    <row r="46" spans="2:8" x14ac:dyDescent="0.25">
      <c r="B46" s="5">
        <v>10192</v>
      </c>
      <c r="C46" s="6">
        <v>9.0010999999999994E-2</v>
      </c>
      <c r="E46" s="4">
        <v>6916</v>
      </c>
      <c r="F46" s="9">
        <f>+VLOOKUP(E46,$B$8:$C$48,2,FALSE)</f>
        <v>8.8744000000000003E-2</v>
      </c>
      <c r="G46" s="9" cm="1">
        <f t="array" ref="G46">CubicForecast($B$8:$C$48,E46)</f>
        <v>8.8744000000000003E-2</v>
      </c>
      <c r="H46" s="9">
        <f t="shared" si="0"/>
        <v>0</v>
      </c>
    </row>
    <row r="47" spans="2:8" x14ac:dyDescent="0.25">
      <c r="B47" s="5">
        <v>10556</v>
      </c>
      <c r="C47" s="6">
        <v>9.0010999999999994E-2</v>
      </c>
      <c r="E47" s="4">
        <v>7098</v>
      </c>
      <c r="F47" s="10">
        <f>+_xlfn.FORECAST.LINEAR(E47,C37:C38,B37:B38)</f>
        <v>8.8904000000000011E-2</v>
      </c>
      <c r="G47" s="10" cm="1">
        <f t="array" ref="G47">CubicForecast($B$8:$C$48,E47)</f>
        <v>8.896341666666667E-2</v>
      </c>
      <c r="H47" s="9">
        <f t="shared" si="0"/>
        <v>5.9416666666659013E-5</v>
      </c>
    </row>
    <row r="48" spans="2:8" x14ac:dyDescent="0.25">
      <c r="B48" s="5">
        <v>10920</v>
      </c>
      <c r="C48" s="6">
        <v>9.0010999999999994E-2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Cubic Interpolation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dc:creator>
  <cp:lastModifiedBy>Habacuq</cp:lastModifiedBy>
  <dcterms:created xsi:type="dcterms:W3CDTF">2015-03-28T15:39:03Z</dcterms:created>
  <dcterms:modified xsi:type="dcterms:W3CDTF">2020-10-16T22:14:25Z</dcterms:modified>
</cp:coreProperties>
</file>